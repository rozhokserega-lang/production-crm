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К\OneDrive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8" i="1" l="1"/>
  <c r="E88" i="1"/>
  <c r="G87" i="1"/>
  <c r="G86" i="1"/>
  <c r="E86" i="1"/>
  <c r="G82" i="1"/>
  <c r="E82" i="1"/>
  <c r="G78" i="1"/>
  <c r="E78" i="1"/>
  <c r="G76" i="1"/>
  <c r="G75" i="1"/>
  <c r="G74" i="1"/>
  <c r="G73" i="1"/>
  <c r="G72" i="1"/>
  <c r="G71" i="1"/>
  <c r="G70" i="1"/>
  <c r="G69" i="1"/>
  <c r="G68" i="1"/>
  <c r="G67" i="1"/>
  <c r="G66" i="1"/>
  <c r="E66" i="1"/>
  <c r="G62" i="1"/>
  <c r="E62" i="1"/>
  <c r="G58" i="1"/>
  <c r="E58" i="1"/>
  <c r="G56" i="1"/>
  <c r="G55" i="1"/>
  <c r="E55" i="1"/>
  <c r="G54" i="1"/>
  <c r="E54" i="1"/>
  <c r="G53" i="1"/>
  <c r="E53" i="1"/>
  <c r="G52" i="1"/>
  <c r="E52" i="1"/>
  <c r="G51" i="1"/>
  <c r="E51" i="1"/>
  <c r="G50" i="1"/>
  <c r="E50" i="1"/>
  <c r="G46" i="1"/>
  <c r="G45" i="1"/>
  <c r="G44" i="1"/>
  <c r="G43" i="1"/>
  <c r="E43" i="1"/>
  <c r="G42" i="1"/>
  <c r="E42" i="1"/>
  <c r="G40" i="1"/>
  <c r="E40" i="1"/>
  <c r="G39" i="1"/>
  <c r="E39" i="1"/>
  <c r="G38" i="1"/>
  <c r="E38" i="1"/>
  <c r="G36" i="1"/>
  <c r="E36" i="1"/>
  <c r="D36" i="1"/>
  <c r="G35" i="1"/>
  <c r="E35" i="1"/>
  <c r="G33" i="1"/>
  <c r="E33" i="1"/>
  <c r="G32" i="1"/>
  <c r="E32" i="1"/>
  <c r="G31" i="1"/>
  <c r="E31" i="1"/>
  <c r="G30" i="1"/>
  <c r="E30" i="1"/>
  <c r="G29" i="1"/>
  <c r="E29" i="1"/>
  <c r="G25" i="1"/>
  <c r="G24" i="1"/>
  <c r="G23" i="1"/>
  <c r="E23" i="1"/>
  <c r="G20" i="1"/>
  <c r="G19" i="1"/>
  <c r="G18" i="1"/>
  <c r="G17" i="1"/>
  <c r="G16" i="1"/>
  <c r="E16" i="1"/>
  <c r="G15" i="1"/>
  <c r="E15" i="1"/>
  <c r="G12" i="1"/>
  <c r="G11" i="1"/>
  <c r="G10" i="1"/>
  <c r="E10" i="1"/>
  <c r="G9" i="1"/>
  <c r="E9" i="1"/>
  <c r="G7" i="1"/>
  <c r="E7" i="1"/>
  <c r="G6" i="1"/>
  <c r="G5" i="1"/>
  <c r="E5" i="1"/>
</calcChain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1"/>
            <color theme="1"/>
            <rFont val="Calibri"/>
            <scheme val="minor"/>
          </rPr>
          <t>🎨 Цвет изменен: 03.03.2026 12:50:00
👤 Пользователь: rozhokserega@gmail.com
🌈 Цвет: #6d9eeb</t>
        </r>
      </text>
    </comment>
    <comment ref="A8" authorId="0" shapeId="0">
      <text>
        <r>
          <rPr>
            <sz val="11"/>
            <color theme="1"/>
            <rFont val="Calibri"/>
            <scheme val="minor"/>
          </rPr>
          <t>🎨 Цвет изменен: 03.03.2026 12:50:07
👤 Пользователь: rozhokserega@gmail.com
🌈 Цвет: #6d9eeb</t>
        </r>
      </text>
    </comment>
    <comment ref="D9" authorId="0" shapeId="0">
      <text>
        <r>
          <rPr>
            <sz val="11"/>
            <color theme="1"/>
            <rFont val="Calibri"/>
            <scheme val="minor"/>
          </rPr>
          <t>🎨 Цвет изменен: 09.03.2026 09:14:07
👤 Пользователь: rozhokserega@gmail.com
🌈 Цвет: #d0d0d0
🎨 Цвет изменен: 07.03.2026 14:24:56
👤 Пользователь: rozhokserega@gmail.com
🌈 Цвет: #d0d0d0
🎨 Цвет изменен: 07.03.2026 13:39:33
👤 Пользователь: rozhokserega@gmail.com
🌈 Цвет: #d0d0d0
🎨 Цвет изменен: 06.03.2026 12:12:04
👤 Пользователь: rozhokserega@gmail.com
🌈 Цвет: #d0d0d0</t>
        </r>
      </text>
    </comment>
    <comment ref="A14" authorId="0" shapeId="0">
      <text>
        <r>
          <rPr>
            <sz val="11"/>
            <color theme="1"/>
            <rFont val="Calibri"/>
            <scheme val="minor"/>
          </rPr>
          <t>🎨 Цвет изменен: 03.03.2026 12:50:11
👤 Пользователь: rozhokserega@gmail.com
🌈 Цвет: #6d9eeb</t>
        </r>
      </text>
    </comment>
    <comment ref="D15" authorId="0" shapeId="0">
      <text>
        <r>
          <rPr>
            <sz val="11"/>
            <color theme="1"/>
            <rFont val="Calibri"/>
            <scheme val="minor"/>
          </rPr>
          <t>🎨 Цвет изменен: 07.03.2026 14:25:36
👤 Пользователь: rozhokserega@gmail.com
🌈 Цвет: #d8d8d8
🎨 Цвет изменен: 06.03.2026 17:37:23
👤 Пользователь: rozhokserega@gmail.com
🌈 Цвет: #d8d8d8
🎨 Цвет изменен: 06.03.2026 17:37:17
👤 Пользователь: rozhokserega@gmail.com
🌈 Цвет: #d8d8d8
🎨 Цвет изменен: 06.03.2026 17:37:08
👤 Пользователь: rozhokserega@gmail.com
🌈 Цвет: #d8d8d8
🎨 Цвет изменен: 06.03.2026 17:37:01
👤 Пользователь: rozhokserega@gmail.com
🌈 Цвет: #d8d8d8
🎨 Цвет изменен: 06.03.2026 17:36:55
👤 Пользователь: rozhokserega@gmail.com
🌈 Цвет: #d8d8d8
🎨 Цвет изменен: 06.03.2026 17:36:51
👤 Пользователь: rozhokserega@gmail.com
🌈 Цвет: #d8d8d8
🎨 Цвет изменен: 06.03.2026 17:33:03
👤 Пользователь: rozhokserega@gmail.com
🌈 Цвет: #d8d8d8
🎨 Цвет изменен: 06.03.2026 17:22:01
👤 Пользователь: rozhokserega@gmail.com
🌈 Цвет: #d8d8d8
🎨 Цвет изменен: 06.03.2026 17:21:45
👤 Пользователь: rozhokserega@gmail.com
🌈 Цвет: #d8d8d8
🎨 Цвет изменен: 06.03.2026 17:21:27
👤 Пользователь: rozhokserega@gmail.com
🌈 Цвет: #d8d8d8
🎨 Цвет изменен: 06.03.2026 17:19:25
👤 Пользователь: rozhokserega@gmail.com
🌈 Цвет: #d8d8d8
🎨 Цвет изменен: 06.03.2026 17:15:08
👤 Пользователь: rozhokserega@gmail.com
🌈 Цвет: #d8d8d8
🎨 Цвет изменен: 06.03.2026 17:13:58
👤 Пользователь: rozhokserega@gmail.com
🌈 Цвет: #d8d8d8
🎨 Цвет изменен: 06.03.2026 17:13:54
👤 Пользователь: rozhokserega@gmail.com
🌈 Цвет: #d8d8d8
🎨 Цвет изменен: 06.03.2026 13:26:28
👤 Пользователь: rozhokserega@gmail.com
🌈 Цвет: #d8d8d8
🎨 Цвет изменен: 06.03.2026 13:21:37
👤 Пользователь: rozhokserega@gmail.com
🌈 Цвет: #d8d8d8
🎨 Цвет изменен: 06.03.2026 13:21:05
👤 Пользователь: rozhokserega@gmail.com
🌈 Цвет: #d8d8d8
🎨 Цвет изменен: 06.03.2026 13:20:59
👤 Пользователь: rozhokserega@gmail.com
🌈 Цвет: #d8d8d8
🎨 Цвет изменен: 06.03.2026 13:20:42
👤 Пользователь: rozhokserega@gmail.com
🌈 Цвет: #d8d8d8
🎨 Цвет изменен: 06.03.2026 13:20:34
👤 Пользователь: rozhokserega@gmail.com
🌈 Цвет: #d8d8d8
🎨 Цвет изменен: 06.03.2026 13:20:22
👤 Пользователь: rozhokserega@gmail.com
🌈 Цвет: #d8d8d8
🎨 Цвет изменен: 06.03.2026 13:20:08
👤 Пользователь: rozhokserega@gmail.com
🌈 Цвет: #d8d8d8
🎨 Цвет изменен: 06.03.2026 13:19:57
👤 Пользователь: rozhokserega@gmail.com
🌈 Цвет: #d8d8d8
🎨 Цвет изменен: 06.03.2026 13:19:42
👤 Пользователь: rozhokserega@gmail.com
🌈 Цвет: #d8d8d8
🎨 Цвет изменен: 06.03.2026 13:19:29
👤 Пользователь: rozhokserega@gmail.com
🌈 Цвет: #d8d8d8
🎨 Цвет изменен: 06.03.2026 13:19:27
👤 Пользователь: rozhokserega@gmail.com
🌈 Цвет: #d8d8d8
🎨 Цвет изменен: 06.03.2026 13:19:24
👤 Пользователь: rozhokserega@gmail.com
🌈 Цвет: #d8d8d8
🎨 Цвет изменен: 06.03.2026 13:14:21
👤 Пользователь: rozhokserega@gmail.com
🌈 Цвет: #d8d8d8
🎨 Цвет изменен: 06.03.2026 13:14:16
👤 Пользователь: rozhokserega@gmail.com
🌈 Цвет: #d8d8d8
🎨 Цвет изменен: 06.03.2026 13:14:15
👤 Пользователь: rozhokserega@gmail.com
🌈 Цвет: #d8d8d8
🎨 Цвет изменен: 06.03.2026 13:14:09
👤 Пользователь: rozhokserega@gmail.com
🌈 Цвет: #d8d8d8
🎨 Цвет изменен: 06.03.2026 13:12:23
👤 Пользователь: rozhokserega@gmail.com
🌈 Цвет: #d8d8d8
🎨 Цвет изменен: 06.03.2026 12:16:28
👤 Пользователь: rozhokserega@gmail.com
🌈 Цвет: #d8d8d8
🎨 Цвет изменен: 06.03.2026 12:16:27
👤 Пользователь: rozhokserega@gmail.com
🌈 Цвет: #d8d8d8
🎨 Цвет изменен: 06.03.2026 12:14:57
👤 Пользователь: rozhokserega@gmail.com
🌈 Цвет: #d8d8d8
🎨 Цвет изменен: 06.03.2026 12:14:54
👤 Пользователь: rozhokserega@gmail.com
🌈 Цвет: #d8d8d8
🎨 Цвет изменен: 06.03.2026 12:14:43
👤 Пользователь: rozhokserega@gmail.com
🌈 Цвет: #d8d8d8
🎨 Цвет изменен: 06.03.2026 12:14:35
👤 Пользователь: rozhokserega@gmail.com
🌈 Цвет: #d8d8d8
🎨 Цвет изменен: 06.03.2026 12:12:03
👤 Пользователь: rozhokserega@gmail.com
🌈 Цвет: #d8d8d8
🎨 Цвет изменен: 06.03.2026 12:11:57
👤 Пользователь: rozhokserega@gmail.com
🌈 Цвет: #d8d8d8
🎨 Цвет изменен: 06.03.2026 12:11:50
👤 Пользователь: rozhokserega@gmail.com
🌈 Цвет: #d8d8d8
🎨 Цвет изменен: 06.03.2026 12:09:18
👤 Пользователь: rozhokserega@gmail.com
🌈 Цвет: #d8d8d8
🎨 Цвет изменен: 06.03.2026 12:08:53
👤 Пользователь: rozhokserega@gmail.com
🌈 Цвет: #d8d8d8
🎨 Цвет изменен: 06.03.2026 12:08:45
👤 Пользователь: rozhokserega@gmail.com
🌈 Цвет: #d8d8d8
🎨 Цвет изменен: 06.03.2026 12:08:31
👤 Пользователь: rozhokserega@gmail.com
🌈 Цвет: #d8d8d8
🎨 Цвет изменен: 06.03.2026 12:06:55
👤 Пользователь: rozhokserega@gmail.com
🌈 Цвет: #d8d8d8
🎨 Цвет изменен: 06.03.2026 12:06:34
👤 Пользователь: rozhokserega@gmail.com
🌈 Цвет: #d8d8d8
🎨 Цвет изменен: 06.03.2026 12:06:29
👤 Пользователь: rozhokserega@gmail.com
🌈 Цвет: #d8d8d8
🎨 Цвет изменен: 06.03.2026 12:06:23
👤 Пользователь: rozhokserega@gmail.com
🌈 Цвет: #d8d8d8</t>
        </r>
      </text>
    </comment>
    <comment ref="A22" authorId="0" shapeId="0">
      <text>
        <r>
          <rPr>
            <sz val="11"/>
            <color theme="1"/>
            <rFont val="Calibri"/>
            <scheme val="minor"/>
          </rPr>
          <t>🎨 Цвет изменен: 03.03.2026 12:50:16
👤 Пользователь: rozhokserega@gmail.com
🌈 Цвет: #6d9eeb</t>
        </r>
      </text>
    </comment>
    <comment ref="D23" authorId="0" shapeId="0">
      <text>
        <r>
          <rPr>
            <sz val="11"/>
            <color theme="1"/>
            <rFont val="Calibri"/>
            <scheme val="minor"/>
          </rPr>
          <t>🎨 Цвет изменен: 12.03.2026 09:45:05
👤 Пользователь: rozhokserega@gmail.com
🌈 Цвет: #d0d0d0
🎨 Цвет изменен: 09.03.2026 09:05:11
👤 Пользователь: rozhokserega@gmail.com
🌈 Цвет: #d0d0d0
🎨 Цвет изменен: 09.03.2026 09:05:02
👤 Пользователь: rozhokserega@gmail.com
🌈 Цвет: #d0d0d0
🎨 Цвет изменен: 09.03.2026 09:04:58
👤 Пользователь: rozhokserega@gmail.com
🌈 Цвет: #d0d0d0
🎨 Цвет изменен: 09.03.2026 09:04:52
👤 Пользователь: rozhokserega@gmail.com
🌈 Цвет: #d0d0d0
🎨 Цвет изменен: 09.03.2026 09:04:49
👤 Пользователь: rozhokserega@gmail.com
🌈 Цвет: #d0d0d0
🎨 Цвет изменен: 09.03.2026 09:04:43
👤 Пользователь: rozhokserega@gmail.com
🌈 Цвет: #d0d0d0
🎨 Цвет изменен: 09.03.2026 09:04:38
👤 Пользователь: rozhokserega@gmail.com
🌈 Цвет: #d0d0d0
🎨 Цвет изменен: 09.03.2026 09:04:33
👤 Пользователь: rozhokserega@gmail.com
🌈 Цвет: #d0d0d0
🎨 Цвет изменен: 09.03.2026 09:04:27
👤 Пользователь: rozhokserega@gmail.com
🌈 Цвет: #d0d0d0
🎨 Цвет изменен: 09.03.2026 08:55:09
👤 Пользователь: rozhokserega@gmail.com
🌈 Цвет: #d0d0d0
🎨 Цвет изменен: 09.03.2026 08:54:13
👤 Пользователь: rozhokserega@gmail.com
🌈 Цвет: #d0d0d0
🎨 Цвет изменен: 06.03.2026 15:42:58
👤 Пользователь: rozhokserega@gmail.com
🌈 Цвет: #d0d0d0
🎨 Цвет изменен: 06.03.2026 15:42:55
👤 Пользователь: rozhokserega@gmail.com
🌈 Цвет: #d0d0d0
🎨 Цвет изменен: 06.03.2026 15:42:51
👤 Пользователь: rozhokserega@gmail.com
🌈 Цвет: #d0d0d0
🎨 Цвет изменен: 06.03.2026 15:42:43
👤 Пользователь: rozhokserega@gmail.com
🌈 Цвет: #d0d0d0
🎨 Цвет изменен: 06.03.2026 15:16:19
👤 Пользователь: rozhokserega@gmail.com
🌈 Цвет: #d0d0d0
🎨 Цвет изменен: 06.03.2026 14:33:25
👤 Пользователь: rozhokserega@gmail.com
🌈 Цвет: #d0d0d0
🎨 Цвет изменен: 06.03.2026 14:32:14
👤 Пользователь: rozhokserega@gmail.com
🌈 Цвет: #d0d0d0
🎨 Цвет изменен: 06.03.2026 14:32:00
👤 Пользователь: rozhokserega@gmail.com
🌈 Цвет: #d0d0d0
🎨 Цвет изменен: 06.03.2026 14:07:29
👤 Пользователь: rozhokserega@gmail.com
🌈 Цвет: #d0d0d0
🎨 Цвет изменен: 06.03.2026 13:44:02
👤 Пользователь: rozhokserega@gmail.com
🌈 Цвет: #d0d0d0</t>
        </r>
      </text>
    </comment>
    <comment ref="F23" authorId="0" shapeId="0">
      <text>
        <r>
          <rPr>
            <sz val="11"/>
            <color theme="1"/>
            <rFont val="Calibri"/>
            <scheme val="minor"/>
          </rPr>
          <t>🎨 Цвет изменен: 06.03.2026 14:37:06
👤 Пользователь: rozhokserega@gmail.com
🌈 Цвет: #fff2cc</t>
        </r>
      </text>
    </comment>
    <comment ref="F24" authorId="0" shapeId="0">
      <text>
        <r>
          <rPr>
            <sz val="11"/>
            <color theme="1"/>
            <rFont val="Calibri"/>
            <scheme val="minor"/>
          </rPr>
          <t>🎨 Цвет изменен: 09.03.2026 09:07:25
👤 Пользователь: rozhokserega@gmail.com
🌈 Цвет: #d9d2e9</t>
        </r>
      </text>
    </comment>
    <comment ref="A27" authorId="0" shapeId="0">
      <text>
        <r>
          <rPr>
            <sz val="11"/>
            <color theme="1"/>
            <rFont val="Calibri"/>
            <scheme val="minor"/>
          </rPr>
          <t>🎨 Цвет изменен: 03.03.2026 12:50:20
👤 Пользователь: rozhokserega@gmail.com
🌈 Цвет: #6d9eeb</t>
        </r>
      </text>
    </comment>
    <comment ref="D29" authorId="0" shapeId="0">
      <text>
        <r>
          <rPr>
            <sz val="11"/>
            <color theme="1"/>
            <rFont val="Calibri"/>
            <scheme val="minor"/>
          </rPr>
          <t>🎨 Цвет изменен: 05.03.2026 12:56:52
👤 Пользователь: rozhokserega@gmail.com
🌈 Цвет: #d0d0d0
🎨 Цвет изменен: 04.03.2026 13:03:26
👤 Пользователь: rozhokserega@gmail.com
🌈 Цвет: #d0d0d0
🎨 Цвет изменен: 30.01.2026 15:46:01
👤 Пользователь: rozhokserega@gmail.com
🌈 Цвет: #d0d0d0</t>
        </r>
      </text>
    </comment>
    <comment ref="A34" authorId="0" shapeId="0">
      <text>
        <r>
          <rPr>
            <sz val="11"/>
            <color theme="1"/>
            <rFont val="Calibri"/>
            <scheme val="minor"/>
          </rPr>
          <t>🎨 Цвет изменен: 03.03.2026 12:50:27
👤 Пользователь: rozhokserega@gmail.com
🌈 Цвет: #6d9eeb</t>
        </r>
      </text>
    </comment>
    <comment ref="B37" authorId="0" shapeId="0">
      <text>
        <r>
          <rPr>
            <sz val="11"/>
            <color theme="1"/>
            <rFont val="Calibri"/>
            <scheme val="minor"/>
          </rPr>
          <t>🎨 Цвет изменен: 03.03.2026 13:14:38
👤 Пользователь: rozhokserega@gmail.com
🌈 Цвет: #6d9eeb</t>
        </r>
      </text>
    </comment>
    <comment ref="A41" authorId="0" shapeId="0">
      <text>
        <r>
          <rPr>
            <sz val="11"/>
            <color theme="1"/>
            <rFont val="Calibri"/>
            <scheme val="minor"/>
          </rPr>
          <t>🎨 Цвет изменен: 03.03.2026 12:50:44
👤 Пользователь: rozhokserega@gmail.com
🌈 Цвет: #6d9eeb
🎨 Цвет изменен: 03.03.2026 12:50:30
👤 Пользователь: rozhokserega@gmail.com
🌈 Цвет: #a4c2f4</t>
        </r>
      </text>
    </comment>
    <comment ref="D42" authorId="0" shapeId="0">
      <text>
        <r>
          <rPr>
            <sz val="11"/>
            <color theme="1"/>
            <rFont val="Calibri"/>
            <scheme val="minor"/>
          </rPr>
          <t>🎨 Цвет изменен: 06.03.2026 10:21:56
👤 Пользователь: rozhokserega@gmail.com
🌈 Цвет: #d8d8d8
🎨 Цвет изменен: 29.01.2026 16:12:02
👤 Пользователь: rozhokserega@gmail.com
🌈 Цвет: #d8d8d8
🎨 Цвет изменен: 22.01.2026 16:06:10
👤 Пользователь: rozhokserega@gmail.com
🌈 Цвет: #d8d8d8</t>
        </r>
      </text>
    </comment>
    <comment ref="A49" authorId="0" shapeId="0">
      <text>
        <r>
          <rPr>
            <sz val="11"/>
            <color theme="1"/>
            <rFont val="Calibri"/>
            <scheme val="minor"/>
          </rPr>
          <t>🎨 Цвет изменен: 03.03.2026 12:50:38
👤 Пользователь: rozhokserega@gmail.com
🌈 Цвет: #6d9eeb</t>
        </r>
      </text>
    </comment>
    <comment ref="D50" authorId="0" shapeId="0">
      <text>
        <r>
          <rPr>
            <sz val="11"/>
            <color theme="1"/>
            <rFont val="Calibri"/>
            <scheme val="minor"/>
          </rPr>
          <t>🎨 Цвет изменен: 09.03.2026 09:02:18
👤 Пользователь: rozhokserega@gmail.com
🌈 Цвет: #d8d8d8</t>
        </r>
      </text>
    </comment>
    <comment ref="A57" authorId="0" shapeId="0">
      <text>
        <r>
          <rPr>
            <sz val="11"/>
            <color theme="1"/>
            <rFont val="Calibri"/>
            <scheme val="minor"/>
          </rPr>
          <t>🎨 Цвет изменен: 03.03.2026 12:50:48
👤 Пользователь: rozhokserega@gmail.com
🌈 Цвет: #6d9eeb</t>
        </r>
      </text>
    </comment>
    <comment ref="B58" authorId="0" shapeId="0">
      <text>
        <r>
          <rPr>
            <sz val="11"/>
            <color theme="1"/>
            <rFont val="Calibri"/>
            <scheme val="minor"/>
          </rPr>
          <t>🎨 Цвет изменен: 29.01.2026 16:27:30
👤 Пользователь: rozhokserega@gmail.com
🌈 Цвет: #c1f0c8
🎨 Цвет изменен: 29.01.2026 16:27:24
👤 Пользователь: rozhokserega@gmail.com
🌈 Цвет: #c1f0c8</t>
        </r>
      </text>
    </comment>
    <comment ref="C58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59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60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62" authorId="0" shapeId="0">
      <text>
        <r>
          <rPr>
            <sz val="11"/>
            <color theme="1"/>
            <rFont val="Calibri"/>
            <scheme val="minor"/>
          </rPr>
          <t>🎨 Цвет изменен: 29.01.2026 16:27:30
👤 Пользователь: rozhokserega@gmail.com
🌈 Цвет: #c1f0c8
🎨 Цвет изменен: 29.01.2026 16:27:24
👤 Пользователь: rozhokserega@gmail.com
🌈 Цвет: #c1f0c8</t>
        </r>
      </text>
    </comment>
    <comment ref="C62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63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64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D66" authorId="0" shapeId="0">
      <text>
        <r>
          <rPr>
            <sz val="11"/>
            <color theme="1"/>
            <rFont val="Calibri"/>
            <scheme val="minor"/>
          </rPr>
          <t>🎨 Цвет изменен: 12.03.2026 09:45:05
👤 Пользователь: rozhokserega@gmail.com
🌈 Цвет: #d0d0d0
🎨 Цвет изменен: 09.03.2026 09:05:11
👤 Пользователь: rozhokserega@gmail.com
🌈 Цвет: #d0d0d0
🎨 Цвет изменен: 09.03.2026 09:05:02
👤 Пользователь: rozhokserega@gmail.com
🌈 Цвет: #d0d0d0
🎨 Цвет изменен: 09.03.2026 09:04:58
👤 Пользователь: rozhokserega@gmail.com
🌈 Цвет: #d0d0d0
🎨 Цвет изменен: 09.03.2026 09:04:52
👤 Пользователь: rozhokserega@gmail.com
🌈 Цвет: #d0d0d0
🎨 Цвет изменен: 09.03.2026 09:04:49
👤 Пользователь: rozhokserega@gmail.com
🌈 Цвет: #d0d0d0
🎨 Цвет изменен: 09.03.2026 09:04:43
👤 Пользователь: rozhokserega@gmail.com
🌈 Цвет: #d0d0d0
🎨 Цвет изменен: 09.03.2026 09:04:38
👤 Пользователь: rozhokserega@gmail.com
🌈 Цвет: #d0d0d0
🎨 Цвет изменен: 09.03.2026 09:04:33
👤 Пользователь: rozhokserega@gmail.com
🌈 Цвет: #d0d0d0
🎨 Цвет изменен: 09.03.2026 09:04:27
👤 Пользователь: rozhokserega@gmail.com
🌈 Цвет: #d0d0d0
🎨 Цвет изменен: 09.03.2026 08:55:09
👤 Пользователь: rozhokserega@gmail.com
🌈 Цвет: #d0d0d0
🎨 Цвет изменен: 09.03.2026 08:54:13
👤 Пользователь: rozhokserega@gmail.com
🌈 Цвет: #d0d0d0
🎨 Цвет изменен: 06.03.2026 15:42:58
👤 Пользователь: rozhokserega@gmail.com
🌈 Цвет: #d0d0d0
🎨 Цвет изменен: 06.03.2026 15:42:55
👤 Пользователь: rozhokserega@gmail.com
🌈 Цвет: #d0d0d0
🎨 Цвет изменен: 06.03.2026 15:42:51
👤 Пользователь: rozhokserega@gmail.com
🌈 Цвет: #d0d0d0
🎨 Цвет изменен: 06.03.2026 15:42:43
👤 Пользователь: rozhokserega@gmail.com
🌈 Цвет: #d0d0d0
🎨 Цвет изменен: 06.03.2026 15:16:19
👤 Пользователь: rozhokserega@gmail.com
🌈 Цвет: #d0d0d0
🎨 Цвет изменен: 06.03.2026 14:33:25
👤 Пользователь: rozhokserega@gmail.com
🌈 Цвет: #d0d0d0
🎨 Цвет изменен: 06.03.2026 14:32:14
👤 Пользователь: rozhokserega@gmail.com
🌈 Цвет: #d0d0d0
🎨 Цвет изменен: 06.03.2026 14:32:00
👤 Пользователь: rozhokserega@gmail.com
🌈 Цвет: #d0d0d0
🎨 Цвет изменен: 06.03.2026 14:07:29
👤 Пользователь: rozhokserega@gmail.com
🌈 Цвет: #d0d0d0
🎨 Цвет изменен: 06.03.2026 13:44:02
👤 Пользователь: rozhokserega@gmail.com
🌈 Цвет: #d0d0d0</t>
        </r>
      </text>
    </comment>
    <comment ref="F66" authorId="0" shapeId="0">
      <text>
        <r>
          <rPr>
            <sz val="11"/>
            <color theme="1"/>
            <rFont val="Calibri"/>
            <scheme val="minor"/>
          </rPr>
          <t>🎨 Цвет изменен: 06.03.2026 14:37:06
👤 Пользователь: rozhokserega@gmail.com
🌈 Цвет: #fff2cc</t>
        </r>
      </text>
    </comment>
    <comment ref="F67" authorId="0" shapeId="0">
      <text>
        <r>
          <rPr>
            <sz val="11"/>
            <color theme="1"/>
            <rFont val="Calibri"/>
            <scheme val="minor"/>
          </rPr>
          <t>🎨 Цвет изменен: 09.03.2026 09:07:25
👤 Пользователь: rozhokserega@gmail.com
🌈 Цвет: #d9d2e9</t>
        </r>
      </text>
    </comment>
    <comment ref="B78" authorId="0" shapeId="0">
      <text>
        <r>
          <rPr>
            <sz val="11"/>
            <color theme="1"/>
            <rFont val="Calibri"/>
            <scheme val="minor"/>
          </rPr>
          <t>🎨 Цвет изменен: 29.01.2026 16:27:30
👤 Пользователь: rozhokserega@gmail.com
🌈 Цвет: #c1f0c8
🎨 Цвет изменен: 29.01.2026 16:27:24
👤 Пользователь: rozhokserega@gmail.com
🌈 Цвет: #c1f0c8</t>
        </r>
      </text>
    </comment>
    <comment ref="C78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79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80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82" authorId="0" shapeId="0">
      <text>
        <r>
          <rPr>
            <sz val="11"/>
            <color theme="1"/>
            <rFont val="Calibri"/>
            <scheme val="minor"/>
          </rPr>
          <t>🎨 Цвет изменен: 29.01.2026 16:27:30
👤 Пользователь: rozhokserega@gmail.com
🌈 Цвет: #c1f0c8
🎨 Цвет изменен: 29.01.2026 16:27:24
👤 Пользователь: rozhokserega@gmail.com
🌈 Цвет: #c1f0c8</t>
        </r>
      </text>
    </comment>
    <comment ref="C82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83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  <comment ref="B84" authorId="0" shapeId="0">
      <text>
        <r>
          <rPr>
            <sz val="11"/>
            <color theme="1"/>
            <rFont val="Calibri"/>
            <scheme val="minor"/>
          </rPr>
          <t>🎨 Цвет изменен: 29.01.2026 16:27:24
👤 Пользователь: rozhokserega@gmail.com
🌈 Цвет: #c1f0c8</t>
        </r>
      </text>
    </comment>
  </commentList>
</comments>
</file>

<file path=xl/sharedStrings.xml><?xml version="1.0" encoding="utf-8"?>
<sst xmlns="http://schemas.openxmlformats.org/spreadsheetml/2006/main" count="109" uniqueCount="82">
  <si>
    <t>Изделие</t>
  </si>
  <si>
    <t>Цвет</t>
  </si>
  <si>
    <t>Кол-во</t>
  </si>
  <si>
    <t>Детали:</t>
  </si>
  <si>
    <t>Кол_во</t>
  </si>
  <si>
    <t>ТВ тумба</t>
  </si>
  <si>
    <t>Юта</t>
  </si>
  <si>
    <t>Крышка (1100_356)</t>
  </si>
  <si>
    <t>Черный</t>
  </si>
  <si>
    <t>Бока (316_167)</t>
  </si>
  <si>
    <t>Полка (1100_316)</t>
  </si>
  <si>
    <t>Донини</t>
  </si>
  <si>
    <t>Вотан</t>
  </si>
  <si>
    <t>Столешки (660_530)</t>
  </si>
  <si>
    <t>Середина (660_290)</t>
  </si>
  <si>
    <t>Обвязка (1000_80)</t>
  </si>
  <si>
    <t>Обвязка (558_80)</t>
  </si>
  <si>
    <t>Донини Гранде</t>
  </si>
  <si>
    <t>Бетон</t>
  </si>
  <si>
    <t>Столешки (650_750)</t>
  </si>
  <si>
    <t>Середина (300_750)</t>
  </si>
  <si>
    <t>Обвязка (750_80)</t>
  </si>
  <si>
    <t>Обвязка (618_80)</t>
  </si>
  <si>
    <t>Обвязка (600_80)</t>
  </si>
  <si>
    <t>Обвязка (586_80)</t>
  </si>
  <si>
    <t>Авела Лайт</t>
  </si>
  <si>
    <t>Хантон</t>
  </si>
  <si>
    <t>Столешка (1250_650)</t>
  </si>
  <si>
    <t>Обвязка (1158_50)</t>
  </si>
  <si>
    <t>Обвязка (600_50)</t>
  </si>
  <si>
    <t>Кремона</t>
  </si>
  <si>
    <t>Санома</t>
  </si>
  <si>
    <t>Столешка (1350_700)</t>
  </si>
  <si>
    <t>Стойки (692_280)</t>
  </si>
  <si>
    <t>Верхушка  (870_280)</t>
  </si>
  <si>
    <t>Зад (338_411)</t>
  </si>
  <si>
    <t>Полка (280_411)</t>
  </si>
  <si>
    <t>Примьера</t>
  </si>
  <si>
    <t>Интра</t>
  </si>
  <si>
    <t>Столешка (1350_650)</t>
  </si>
  <si>
    <t>Планка (1150_100)</t>
  </si>
  <si>
    <t>Стабиле</t>
  </si>
  <si>
    <t>Бетон чикаго</t>
  </si>
  <si>
    <t>Планка задняя (1269_300)</t>
  </si>
  <si>
    <t>Планка передняя (1269_50)</t>
  </si>
  <si>
    <t>Донини R</t>
  </si>
  <si>
    <t>Столешки (500_900)</t>
  </si>
  <si>
    <t>Середина (300_900)</t>
  </si>
  <si>
    <t>Обвязка (502_80)</t>
  </si>
  <si>
    <t>Обвязка (544_80)</t>
  </si>
  <si>
    <t>Обвязка (288_80)</t>
  </si>
  <si>
    <t>Обвязка (520_80)</t>
  </si>
  <si>
    <t>Siena</t>
  </si>
  <si>
    <t>Крышки (800_350)</t>
  </si>
  <si>
    <t>Дно (784_321_900)</t>
  </si>
  <si>
    <t>Бока внешние (364_350)</t>
  </si>
  <si>
    <t>Бока внутренние (322_298)</t>
  </si>
  <si>
    <t>Стойка (305_282)</t>
  </si>
  <si>
    <t>Планка крышки (800_40)</t>
  </si>
  <si>
    <t>Эра/графит</t>
  </si>
  <si>
    <t>Фасад (396_305)</t>
  </si>
  <si>
    <t>Солито 1350</t>
  </si>
  <si>
    <t>Solito2</t>
  </si>
  <si>
    <t>Столешка (1152_600)</t>
  </si>
  <si>
    <t>Столешка (1250х650)</t>
  </si>
  <si>
    <t>Обвязка (1158х50)</t>
  </si>
  <si>
    <t>Обвязка (600х50)</t>
  </si>
  <si>
    <t>Дно (320х568)</t>
  </si>
  <si>
    <t>Бок (360х568)</t>
  </si>
  <si>
    <t>Зад (360х288)</t>
  </si>
  <si>
    <t>Планка (288х100)</t>
  </si>
  <si>
    <t>Ящик (500х100)</t>
  </si>
  <si>
    <t>Ящик (232х100)</t>
  </si>
  <si>
    <t>Фасад (153х320)</t>
  </si>
  <si>
    <t>ДВП (262х507)</t>
  </si>
  <si>
    <t>Классико</t>
  </si>
  <si>
    <t>Столешки (1100х596)</t>
  </si>
  <si>
    <t>Солито 1150</t>
  </si>
  <si>
    <t>Столешка (1150_600)</t>
  </si>
  <si>
    <t>ТВ тумба 1500</t>
  </si>
  <si>
    <t>Крышка (1500_356)</t>
  </si>
  <si>
    <t>Полка (1500_316)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</si>
</sst>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b/>
      <sz val="11"/>
      <color theme="1"/>
      <name val="Arial"/>
    </font>
    <font>
      <b/>
      <sz val="11"/>
      <color rgb="FF000000"/>
      <name val="&quot;Aptos Narrow&quot;"/>
    </font>
    <font>
      <b/>
      <sz val="11"/>
      <color rgb="FF000000"/>
      <name val="Arial"/>
    </font>
    <font>
      <b/>
      <sz val="16"/>
      <color rgb="FF000000"/>
      <name val="&quot;Aptos Narrow&quot;"/>
    </font>
    <font>
      <b/>
      <sz val="12"/>
      <color rgb="FF000000"/>
      <name val="&quot;Aptos Narrow&quot;"/>
    </font>
  </fonts>
  <fills count="14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6D9EEB"/>
        <bgColor rgb="FF6D9EEB"/>
      </patternFill>
    </fill>
    <fill>
      <patternFill patternType="solid">
        <fgColor rgb="FFD0D0D0"/>
        <bgColor rgb="FFD0D0D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2" fillId="6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0" borderId="1" xfId="0" applyFont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8" borderId="5" xfId="0" applyFont="1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8" borderId="12" xfId="0" applyFont="1" applyFill="1" applyBorder="1"/>
    <xf numFmtId="0" fontId="3" fillId="7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8" borderId="8" xfId="0" applyFont="1" applyFill="1" applyBorder="1"/>
    <xf numFmtId="0" fontId="1" fillId="0" borderId="12" xfId="0" applyFont="1" applyBorder="1"/>
    <xf numFmtId="0" fontId="3" fillId="9" borderId="14" xfId="0" applyFont="1" applyFill="1" applyBorder="1" applyAlignment="1"/>
    <xf numFmtId="0" fontId="1" fillId="0" borderId="15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8" borderId="17" xfId="0" applyFont="1" applyFill="1" applyBorder="1"/>
    <xf numFmtId="0" fontId="1" fillId="0" borderId="18" xfId="0" applyFont="1" applyBorder="1" applyAlignment="1">
      <alignment horizontal="center"/>
    </xf>
    <xf numFmtId="0" fontId="1" fillId="8" borderId="19" xfId="0" applyFont="1" applyFill="1" applyBorder="1"/>
    <xf numFmtId="0" fontId="1" fillId="0" borderId="20" xfId="0" applyFont="1" applyBorder="1" applyAlignment="1">
      <alignment horizontal="center"/>
    </xf>
    <xf numFmtId="0" fontId="1" fillId="10" borderId="19" xfId="0" applyFont="1" applyFill="1" applyBorder="1"/>
    <xf numFmtId="0" fontId="1" fillId="11" borderId="19" xfId="0" applyFont="1" applyFill="1" applyBorder="1"/>
    <xf numFmtId="0" fontId="1" fillId="11" borderId="21" xfId="0" applyFont="1" applyFill="1" applyBorder="1"/>
    <xf numFmtId="0" fontId="1" fillId="0" borderId="2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12" borderId="24" xfId="0" applyFont="1" applyFill="1" applyBorder="1"/>
    <xf numFmtId="0" fontId="1" fillId="0" borderId="25" xfId="0" applyFont="1" applyBorder="1" applyAlignment="1">
      <alignment horizontal="center"/>
    </xf>
    <xf numFmtId="0" fontId="3" fillId="9" borderId="26" xfId="0" applyFont="1" applyFill="1" applyBorder="1" applyAlignment="1"/>
    <xf numFmtId="0" fontId="1" fillId="0" borderId="27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10" borderId="28" xfId="0" applyFont="1" applyFill="1" applyBorder="1"/>
    <xf numFmtId="0" fontId="3" fillId="0" borderId="29" xfId="0" applyFont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13" borderId="0" xfId="0" applyFont="1" applyFill="1"/>
    <xf numFmtId="0" fontId="1" fillId="0" borderId="17" xfId="0" applyFont="1" applyBorder="1"/>
    <xf numFmtId="0" fontId="1" fillId="0" borderId="19" xfId="0" applyFont="1" applyBorder="1"/>
    <xf numFmtId="0" fontId="1" fillId="0" borderId="30" xfId="0" applyFont="1" applyBorder="1" applyAlignment="1">
      <alignment horizontal="center"/>
    </xf>
    <xf numFmtId="0" fontId="1" fillId="0" borderId="28" xfId="0" applyFont="1" applyBorder="1"/>
    <xf numFmtId="0" fontId="1" fillId="0" borderId="31" xfId="0" applyFont="1" applyBorder="1" applyAlignment="1">
      <alignment horizontal="center"/>
    </xf>
    <xf numFmtId="0" fontId="1" fillId="0" borderId="4" xfId="0" applyFont="1" applyBorder="1"/>
    <xf numFmtId="0" fontId="1" fillId="0" borderId="32" xfId="0" applyFont="1" applyBorder="1" applyAlignment="1">
      <alignment horizontal="center"/>
    </xf>
    <xf numFmtId="0" fontId="1" fillId="0" borderId="11" xfId="0" applyFont="1" applyBorder="1"/>
    <xf numFmtId="0" fontId="3" fillId="7" borderId="33" xfId="0" applyFont="1" applyFill="1" applyBorder="1" applyAlignment="1">
      <alignment horizontal="center"/>
    </xf>
    <xf numFmtId="0" fontId="1" fillId="0" borderId="5" xfId="0" applyFont="1" applyBorder="1"/>
    <xf numFmtId="0" fontId="1" fillId="0" borderId="34" xfId="0" applyFont="1" applyBorder="1" applyAlignment="1">
      <alignment horizontal="center"/>
    </xf>
    <xf numFmtId="0" fontId="1" fillId="0" borderId="8" xfId="0" applyFont="1" applyBorder="1"/>
    <xf numFmtId="0" fontId="1" fillId="0" borderId="35" xfId="0" applyFont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1" fillId="13" borderId="29" xfId="0" applyFont="1" applyFill="1" applyBorder="1" applyAlignment="1">
      <alignment horizontal="center"/>
    </xf>
    <xf numFmtId="0" fontId="3" fillId="0" borderId="17" xfId="0" applyFont="1" applyBorder="1" applyAlignment="1"/>
    <xf numFmtId="0" fontId="3" fillId="0" borderId="11" xfId="0" applyFont="1" applyBorder="1" applyAlignment="1">
      <alignment horizontal="center"/>
    </xf>
    <xf numFmtId="0" fontId="3" fillId="0" borderId="36" xfId="0" applyFont="1" applyBorder="1" applyAlignment="1"/>
    <xf numFmtId="0" fontId="3" fillId="2" borderId="1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13" borderId="30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13" borderId="37" xfId="0" applyFont="1" applyFill="1" applyBorder="1" applyAlignment="1">
      <alignment horizontal="center"/>
    </xf>
    <xf numFmtId="0" fontId="4" fillId="13" borderId="38" xfId="0" applyFont="1" applyFill="1" applyBorder="1" applyAlignment="1">
      <alignment horizontal="center"/>
    </xf>
    <xf numFmtId="0" fontId="4" fillId="13" borderId="39" xfId="0" applyFont="1" applyFill="1" applyBorder="1" applyAlignment="1">
      <alignment horizontal="center"/>
    </xf>
    <xf numFmtId="0" fontId="4" fillId="13" borderId="40" xfId="0" applyFont="1" applyFill="1" applyBorder="1" applyAlignment="1">
      <alignment horizontal="center"/>
    </xf>
    <xf numFmtId="0" fontId="5" fillId="13" borderId="41" xfId="0" applyFont="1" applyFill="1" applyBorder="1" applyAlignment="1">
      <alignment horizontal="center"/>
    </xf>
    <xf numFmtId="0" fontId="4" fillId="13" borderId="42" xfId="0" applyFont="1" applyFill="1" applyBorder="1" applyAlignment="1">
      <alignment horizontal="center"/>
    </xf>
    <xf numFmtId="0" fontId="4" fillId="13" borderId="41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3" fillId="8" borderId="5" xfId="0" applyFont="1" applyFill="1" applyBorder="1" applyAlignment="1"/>
    <xf numFmtId="0" fontId="3" fillId="8" borderId="12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activeCell="D6" sqref="D6"/>
    </sheetView>
  </sheetViews>
  <sheetFormatPr defaultRowHeight="15"/>
  <cols>
    <col min="1" max="1" width="11.5703125" customWidth="1"/>
    <col min="2" max="2" width="25.5703125" customWidth="1"/>
    <col min="5" max="5" width="18.28515625" customWidth="1"/>
    <col min="6" max="6" width="21.5703125" customWidth="1"/>
    <col min="7" max="7" width="37.7109375" customWidth="1"/>
  </cols>
  <sheetData>
    <row r="1" spans="1:7">
      <c r="A1" s="1"/>
      <c r="B1" s="2"/>
      <c r="C1" s="2"/>
      <c r="D1" s="2"/>
      <c r="E1" s="2"/>
      <c r="F1" s="1"/>
      <c r="G1" s="2"/>
    </row>
    <row r="2" spans="1:7" ht="15.75" thickBot="1">
      <c r="A2" s="3"/>
      <c r="B2" s="2"/>
      <c r="C2" s="2"/>
      <c r="D2" s="2"/>
      <c r="E2" s="2"/>
      <c r="F2" s="1"/>
      <c r="G2" s="2"/>
    </row>
    <row r="3" spans="1:7" ht="15.75" thickBot="1">
      <c r="A3" s="3"/>
      <c r="B3" s="4" t="s">
        <v>0</v>
      </c>
      <c r="C3" s="5" t="s">
        <v>1</v>
      </c>
      <c r="D3" s="6" t="s">
        <v>2</v>
      </c>
      <c r="E3" s="5"/>
      <c r="F3" s="7" t="s">
        <v>3</v>
      </c>
      <c r="G3" s="8" t="s">
        <v>4</v>
      </c>
    </row>
    <row r="4" spans="1:7" ht="15.75" thickBot="1">
      <c r="A4" s="9"/>
      <c r="B4" s="10"/>
      <c r="C4" s="10"/>
      <c r="D4" s="10"/>
      <c r="E4" s="10"/>
      <c r="F4" s="11"/>
      <c r="G4" s="10"/>
    </row>
    <row r="5" spans="1:7" ht="15.75" thickBot="1">
      <c r="A5" s="9"/>
      <c r="B5" s="4" t="s">
        <v>5</v>
      </c>
      <c r="C5" s="12" t="s">
        <v>6</v>
      </c>
      <c r="D5" s="13">
        <v>60</v>
      </c>
      <c r="E5" s="14" t="str">
        <f>C5</f>
        <v>Юта</v>
      </c>
      <c r="F5" s="15" t="s">
        <v>7</v>
      </c>
      <c r="G5" s="14">
        <f>D5</f>
        <v>60</v>
      </c>
    </row>
    <row r="6" spans="1:7">
      <c r="A6" s="9"/>
      <c r="B6" s="16"/>
      <c r="C6" s="2"/>
      <c r="D6" s="2"/>
      <c r="E6" s="17" t="s">
        <v>8</v>
      </c>
      <c r="F6" s="18" t="s">
        <v>9</v>
      </c>
      <c r="G6" s="17">
        <f>D5*2</f>
        <v>120</v>
      </c>
    </row>
    <row r="7" spans="1:7" ht="15.75" thickBot="1">
      <c r="A7" s="9"/>
      <c r="B7" s="19"/>
      <c r="C7" s="20"/>
      <c r="D7" s="20"/>
      <c r="E7" s="21" t="str">
        <f>C5</f>
        <v>Юта</v>
      </c>
      <c r="F7" s="22" t="s">
        <v>10</v>
      </c>
      <c r="G7" s="17">
        <f>D5*2</f>
        <v>120</v>
      </c>
    </row>
    <row r="8" spans="1:7" ht="15.75" thickBot="1">
      <c r="A8" s="9"/>
      <c r="B8" s="10"/>
      <c r="C8" s="10"/>
      <c r="D8" s="10"/>
      <c r="E8" s="10"/>
      <c r="F8" s="11"/>
      <c r="G8" s="10"/>
    </row>
    <row r="9" spans="1:7" ht="15.75" thickBot="1">
      <c r="A9" s="9"/>
      <c r="B9" s="4" t="s">
        <v>11</v>
      </c>
      <c r="C9" s="12" t="s">
        <v>12</v>
      </c>
      <c r="D9" s="23">
        <v>216</v>
      </c>
      <c r="E9" s="24" t="str">
        <f>C9</f>
        <v>Вотан</v>
      </c>
      <c r="F9" s="15" t="s">
        <v>13</v>
      </c>
      <c r="G9" s="14">
        <f>D9*2</f>
        <v>432</v>
      </c>
    </row>
    <row r="10" spans="1:7">
      <c r="A10" s="9"/>
      <c r="B10" s="16"/>
      <c r="C10" s="2"/>
      <c r="D10" s="2"/>
      <c r="E10" s="17" t="str">
        <f>C9</f>
        <v>Вотан</v>
      </c>
      <c r="F10" s="25" t="s">
        <v>14</v>
      </c>
      <c r="G10" s="17">
        <f>D9</f>
        <v>216</v>
      </c>
    </row>
    <row r="11" spans="1:7">
      <c r="A11" s="9"/>
      <c r="B11" s="16"/>
      <c r="C11" s="2"/>
      <c r="D11" s="2"/>
      <c r="E11" s="17" t="s">
        <v>8</v>
      </c>
      <c r="F11" s="18" t="s">
        <v>15</v>
      </c>
      <c r="G11" s="17">
        <f>D9*2</f>
        <v>432</v>
      </c>
    </row>
    <row r="12" spans="1:7" ht="15.75" thickBot="1">
      <c r="A12" s="9"/>
      <c r="B12" s="19"/>
      <c r="C12" s="20"/>
      <c r="D12" s="20"/>
      <c r="E12" s="21" t="s">
        <v>8</v>
      </c>
      <c r="F12" s="26" t="s">
        <v>16</v>
      </c>
      <c r="G12" s="21">
        <f>D9*4</f>
        <v>864</v>
      </c>
    </row>
    <row r="13" spans="1:7" ht="16.5" thickTop="1" thickBot="1">
      <c r="A13" s="9"/>
      <c r="B13" s="2"/>
      <c r="C13" s="2"/>
      <c r="D13" s="2"/>
      <c r="E13" s="2"/>
      <c r="F13" s="27"/>
      <c r="G13" s="28"/>
    </row>
    <row r="14" spans="1:7" ht="16.5" thickTop="1" thickBot="1">
      <c r="A14" s="9"/>
      <c r="B14" s="10"/>
      <c r="C14" s="10"/>
      <c r="D14" s="10"/>
      <c r="E14" s="10"/>
      <c r="F14" s="11"/>
      <c r="G14" s="10"/>
    </row>
    <row r="15" spans="1:7" ht="16.5" thickTop="1" thickBot="1">
      <c r="A15" s="9"/>
      <c r="B15" s="29" t="s">
        <v>17</v>
      </c>
      <c r="C15" s="30" t="s">
        <v>18</v>
      </c>
      <c r="D15" s="31">
        <v>1</v>
      </c>
      <c r="E15" s="14" t="str">
        <f>C15</f>
        <v>Бетон</v>
      </c>
      <c r="F15" s="32" t="s">
        <v>19</v>
      </c>
      <c r="G15" s="33">
        <f>D15*2</f>
        <v>2</v>
      </c>
    </row>
    <row r="16" spans="1:7" ht="15.75" thickTop="1">
      <c r="A16" s="9"/>
      <c r="B16" s="16"/>
      <c r="C16" s="2"/>
      <c r="D16" s="2"/>
      <c r="E16" s="17" t="str">
        <f>C15</f>
        <v>Бетон</v>
      </c>
      <c r="F16" s="34" t="s">
        <v>20</v>
      </c>
      <c r="G16" s="35">
        <f>D15</f>
        <v>1</v>
      </c>
    </row>
    <row r="17" spans="1:7">
      <c r="A17" s="9"/>
      <c r="B17" s="16"/>
      <c r="C17" s="2"/>
      <c r="D17" s="2"/>
      <c r="E17" s="17" t="s">
        <v>8</v>
      </c>
      <c r="F17" s="36" t="s">
        <v>21</v>
      </c>
      <c r="G17" s="35">
        <f>D15*2</f>
        <v>2</v>
      </c>
    </row>
    <row r="18" spans="1:7">
      <c r="A18" s="9"/>
      <c r="B18" s="16"/>
      <c r="C18" s="2"/>
      <c r="D18" s="2"/>
      <c r="E18" s="17" t="s">
        <v>8</v>
      </c>
      <c r="F18" s="37" t="s">
        <v>22</v>
      </c>
      <c r="G18" s="35">
        <f>D15*2</f>
        <v>2</v>
      </c>
    </row>
    <row r="19" spans="1:7" ht="15.75" thickBot="1">
      <c r="A19" s="9"/>
      <c r="B19" s="16"/>
      <c r="C19" s="2"/>
      <c r="D19" s="2"/>
      <c r="E19" s="17" t="s">
        <v>8</v>
      </c>
      <c r="F19" s="38" t="s">
        <v>23</v>
      </c>
      <c r="G19" s="39">
        <f>D15*4</f>
        <v>4</v>
      </c>
    </row>
    <row r="20" spans="1:7" ht="15.75" thickBot="1">
      <c r="A20" s="9"/>
      <c r="B20" s="40"/>
      <c r="C20" s="20"/>
      <c r="D20" s="20"/>
      <c r="E20" s="41" t="s">
        <v>8</v>
      </c>
      <c r="F20" s="42" t="s">
        <v>24</v>
      </c>
      <c r="G20" s="43">
        <f>D15*2</f>
        <v>2</v>
      </c>
    </row>
    <row r="21" spans="1:7" ht="15.75" thickBot="1">
      <c r="A21" s="9"/>
      <c r="B21" s="2"/>
      <c r="C21" s="2"/>
      <c r="D21" s="2"/>
      <c r="E21" s="2"/>
      <c r="F21" s="44"/>
      <c r="G21" s="45"/>
    </row>
    <row r="22" spans="1:7" ht="16.5" thickTop="1" thickBot="1">
      <c r="A22" s="9"/>
      <c r="B22" s="10"/>
      <c r="C22" s="10"/>
      <c r="D22" s="10"/>
      <c r="E22" s="10"/>
      <c r="F22" s="11"/>
      <c r="G22" s="10"/>
    </row>
    <row r="23" spans="1:7" ht="15.75" thickBot="1">
      <c r="A23" s="9"/>
      <c r="B23" s="4" t="s">
        <v>25</v>
      </c>
      <c r="C23" s="12" t="s">
        <v>26</v>
      </c>
      <c r="D23" s="23">
        <v>108</v>
      </c>
      <c r="E23" s="14" t="str">
        <f>C23</f>
        <v>Хантон</v>
      </c>
      <c r="F23" s="32" t="s">
        <v>27</v>
      </c>
      <c r="G23" s="33">
        <f>D23</f>
        <v>108</v>
      </c>
    </row>
    <row r="24" spans="1:7">
      <c r="A24" s="9"/>
      <c r="B24" s="16"/>
      <c r="C24" s="16"/>
      <c r="D24" s="16"/>
      <c r="E24" s="17" t="s">
        <v>8</v>
      </c>
      <c r="F24" s="36" t="s">
        <v>28</v>
      </c>
      <c r="G24" s="46">
        <f>D23*2</f>
        <v>216</v>
      </c>
    </row>
    <row r="25" spans="1:7" ht="15.75" thickBot="1">
      <c r="A25" s="9"/>
      <c r="B25" s="19"/>
      <c r="C25" s="20"/>
      <c r="D25" s="20"/>
      <c r="E25" s="21" t="s">
        <v>8</v>
      </c>
      <c r="F25" s="47" t="s">
        <v>29</v>
      </c>
      <c r="G25" s="48">
        <f>D23*2</f>
        <v>216</v>
      </c>
    </row>
    <row r="26" spans="1:7" ht="16.5" thickTop="1" thickBot="1">
      <c r="A26" s="9"/>
      <c r="B26" s="2"/>
      <c r="C26" s="2"/>
      <c r="D26" s="2"/>
      <c r="E26" s="2"/>
      <c r="F26" s="27"/>
      <c r="G26" s="28"/>
    </row>
    <row r="27" spans="1:7" ht="15.75" thickTop="1">
      <c r="A27" s="9"/>
      <c r="B27" s="49"/>
      <c r="C27" s="49"/>
      <c r="D27" s="49"/>
      <c r="E27" s="49"/>
      <c r="F27" s="50"/>
      <c r="G27" s="49"/>
    </row>
    <row r="28" spans="1:7" ht="15.75" thickBot="1">
      <c r="A28" s="9"/>
      <c r="B28" s="10"/>
      <c r="C28" s="10"/>
      <c r="D28" s="10"/>
      <c r="E28" s="10"/>
      <c r="F28" s="11"/>
      <c r="G28" s="10"/>
    </row>
    <row r="29" spans="1:7" ht="15.75" thickBot="1">
      <c r="A29" s="9"/>
      <c r="B29" s="4" t="s">
        <v>30</v>
      </c>
      <c r="C29" s="12" t="s">
        <v>31</v>
      </c>
      <c r="D29" s="23">
        <v>1</v>
      </c>
      <c r="E29" s="14" t="str">
        <f>C29</f>
        <v>Санома</v>
      </c>
      <c r="F29" s="51" t="s">
        <v>32</v>
      </c>
      <c r="G29" s="33">
        <f>D29</f>
        <v>1</v>
      </c>
    </row>
    <row r="30" spans="1:7">
      <c r="A30" s="9"/>
      <c r="B30" s="16"/>
      <c r="C30" s="2"/>
      <c r="D30" s="2"/>
      <c r="E30" s="17" t="str">
        <f>C29</f>
        <v>Санома</v>
      </c>
      <c r="F30" s="52" t="s">
        <v>33</v>
      </c>
      <c r="G30" s="53">
        <f>D29*3</f>
        <v>3</v>
      </c>
    </row>
    <row r="31" spans="1:7">
      <c r="A31" s="9"/>
      <c r="B31" s="16"/>
      <c r="C31" s="2"/>
      <c r="D31" s="2"/>
      <c r="E31" s="17" t="str">
        <f>C29</f>
        <v>Санома</v>
      </c>
      <c r="F31" s="52" t="s">
        <v>34</v>
      </c>
      <c r="G31" s="53">
        <f>D29*2</f>
        <v>2</v>
      </c>
    </row>
    <row r="32" spans="1:7">
      <c r="A32" s="9"/>
      <c r="B32" s="16"/>
      <c r="C32" s="2"/>
      <c r="D32" s="2"/>
      <c r="E32" s="17" t="str">
        <f>C29</f>
        <v>Санома</v>
      </c>
      <c r="F32" s="52" t="s">
        <v>35</v>
      </c>
      <c r="G32" s="53">
        <f>D29*2</f>
        <v>2</v>
      </c>
    </row>
    <row r="33" spans="1:7" ht="15.75" thickBot="1">
      <c r="A33" s="9"/>
      <c r="B33" s="19"/>
      <c r="C33" s="20"/>
      <c r="D33" s="20"/>
      <c r="E33" s="21" t="str">
        <f>C29</f>
        <v>Санома</v>
      </c>
      <c r="F33" s="54" t="s">
        <v>36</v>
      </c>
      <c r="G33" s="55">
        <f>D29*2</f>
        <v>2</v>
      </c>
    </row>
    <row r="34" spans="1:7" ht="15.75" thickBot="1">
      <c r="A34" s="9"/>
      <c r="B34" s="10"/>
      <c r="C34" s="10"/>
      <c r="D34" s="10"/>
      <c r="E34" s="10"/>
      <c r="F34" s="11"/>
      <c r="G34" s="10"/>
    </row>
    <row r="35" spans="1:7" ht="15.75" thickBot="1">
      <c r="A35" s="9"/>
      <c r="B35" s="4" t="s">
        <v>37</v>
      </c>
      <c r="C35" s="12" t="s">
        <v>38</v>
      </c>
      <c r="D35" s="23">
        <v>1</v>
      </c>
      <c r="E35" s="14" t="str">
        <f>C35</f>
        <v>Интра</v>
      </c>
      <c r="F35" s="56" t="s">
        <v>39</v>
      </c>
      <c r="G35" s="57">
        <f>D35</f>
        <v>1</v>
      </c>
    </row>
    <row r="36" spans="1:7" ht="15.75" thickBot="1">
      <c r="A36" s="9"/>
      <c r="B36" s="19"/>
      <c r="C36" s="20"/>
      <c r="D36" s="20">
        <f>ROUNDUP(D35/5,0)</f>
        <v>1</v>
      </c>
      <c r="E36" s="21" t="str">
        <f>C35</f>
        <v>Интра</v>
      </c>
      <c r="F36" s="58" t="s">
        <v>40</v>
      </c>
      <c r="G36" s="41">
        <f>D35</f>
        <v>1</v>
      </c>
    </row>
    <row r="37" spans="1:7" ht="15.75" thickBot="1">
      <c r="A37" s="9"/>
      <c r="B37" s="10"/>
      <c r="C37" s="10"/>
      <c r="D37" s="10"/>
      <c r="E37" s="10"/>
      <c r="F37" s="11"/>
      <c r="G37" s="10"/>
    </row>
    <row r="38" spans="1:7" ht="15.75" thickBot="1">
      <c r="A38" s="9"/>
      <c r="B38" s="4" t="s">
        <v>41</v>
      </c>
      <c r="C38" s="24" t="s">
        <v>42</v>
      </c>
      <c r="D38" s="59">
        <v>1</v>
      </c>
      <c r="E38" s="14" t="str">
        <f>C38</f>
        <v>Бетон чикаго</v>
      </c>
      <c r="F38" s="60" t="s">
        <v>39</v>
      </c>
      <c r="G38" s="14">
        <f>D38</f>
        <v>1</v>
      </c>
    </row>
    <row r="39" spans="1:7">
      <c r="A39" s="9"/>
      <c r="B39" s="16"/>
      <c r="C39" s="16"/>
      <c r="D39" s="16"/>
      <c r="E39" s="61" t="str">
        <f>C38</f>
        <v>Бетон чикаго</v>
      </c>
      <c r="F39" s="62" t="s">
        <v>43</v>
      </c>
      <c r="G39" s="63">
        <f>D38</f>
        <v>1</v>
      </c>
    </row>
    <row r="40" spans="1:7" ht="15.75" thickBot="1">
      <c r="A40" s="9"/>
      <c r="B40" s="19"/>
      <c r="C40" s="20"/>
      <c r="D40" s="20"/>
      <c r="E40" s="21" t="str">
        <f>C38</f>
        <v>Бетон чикаго</v>
      </c>
      <c r="F40" s="26" t="s">
        <v>44</v>
      </c>
      <c r="G40" s="41">
        <f>D38</f>
        <v>1</v>
      </c>
    </row>
    <row r="41" spans="1:7" ht="15.75" thickBot="1">
      <c r="A41" s="9"/>
      <c r="B41" s="10"/>
      <c r="C41" s="10"/>
      <c r="D41" s="10"/>
      <c r="E41" s="10"/>
      <c r="F41" s="11"/>
      <c r="G41" s="10"/>
    </row>
    <row r="42" spans="1:7" ht="15.75" thickBot="1">
      <c r="A42" s="9"/>
      <c r="B42" s="4" t="s">
        <v>45</v>
      </c>
      <c r="C42" s="12" t="s">
        <v>18</v>
      </c>
      <c r="D42" s="31">
        <v>44</v>
      </c>
      <c r="E42" s="14" t="str">
        <f>C42</f>
        <v>Бетон</v>
      </c>
      <c r="F42" s="51" t="s">
        <v>46</v>
      </c>
      <c r="G42" s="33">
        <f>D42*2</f>
        <v>88</v>
      </c>
    </row>
    <row r="43" spans="1:7">
      <c r="A43" s="9"/>
      <c r="B43" s="16"/>
      <c r="C43" s="2"/>
      <c r="D43" s="2"/>
      <c r="E43" s="17" t="str">
        <f>C42</f>
        <v>Бетон</v>
      </c>
      <c r="F43" s="52" t="s">
        <v>47</v>
      </c>
      <c r="G43" s="35">
        <f>D42</f>
        <v>44</v>
      </c>
    </row>
    <row r="44" spans="1:7">
      <c r="A44" s="9"/>
      <c r="B44" s="16"/>
      <c r="C44" s="2"/>
      <c r="D44" s="2"/>
      <c r="E44" s="17" t="s">
        <v>8</v>
      </c>
      <c r="F44" s="52" t="s">
        <v>48</v>
      </c>
      <c r="G44" s="64">
        <f>D42*2</f>
        <v>88</v>
      </c>
    </row>
    <row r="45" spans="1:7">
      <c r="A45" s="9"/>
      <c r="B45" s="16"/>
      <c r="C45" s="2"/>
      <c r="D45" s="2"/>
      <c r="E45" s="17" t="s">
        <v>8</v>
      </c>
      <c r="F45" s="52" t="s">
        <v>49</v>
      </c>
      <c r="G45" s="64">
        <f>D42*2</f>
        <v>88</v>
      </c>
    </row>
    <row r="46" spans="1:7">
      <c r="A46" s="9"/>
      <c r="B46" s="16"/>
      <c r="C46" s="2"/>
      <c r="D46" s="2"/>
      <c r="E46" s="17" t="s">
        <v>8</v>
      </c>
      <c r="F46" s="52" t="s">
        <v>50</v>
      </c>
      <c r="G46" s="64">
        <f>D42*4</f>
        <v>176</v>
      </c>
    </row>
    <row r="47" spans="1:7" ht="15.75" thickBot="1">
      <c r="A47" s="9"/>
      <c r="B47" s="19"/>
      <c r="C47" s="20"/>
      <c r="D47" s="20"/>
      <c r="E47" s="21" t="s">
        <v>8</v>
      </c>
      <c r="F47" s="54" t="s">
        <v>51</v>
      </c>
      <c r="G47" s="65">
        <v>4</v>
      </c>
    </row>
    <row r="48" spans="1:7" ht="16.5" thickTop="1" thickBot="1">
      <c r="A48" s="9"/>
      <c r="B48" s="2"/>
      <c r="C48" s="2"/>
      <c r="D48" s="2"/>
      <c r="E48" s="2"/>
      <c r="F48" s="27"/>
      <c r="G48" s="28"/>
    </row>
    <row r="49" spans="1:7" ht="16.5" thickTop="1" thickBot="1">
      <c r="A49" s="9"/>
      <c r="B49" s="10"/>
      <c r="C49" s="10"/>
      <c r="D49" s="10"/>
      <c r="E49" s="10"/>
      <c r="F49" s="11"/>
      <c r="G49" s="10"/>
    </row>
    <row r="50" spans="1:7" ht="15.75" thickBot="1">
      <c r="A50" s="9"/>
      <c r="B50" s="4" t="s">
        <v>52</v>
      </c>
      <c r="C50" s="12" t="s">
        <v>38</v>
      </c>
      <c r="D50" s="31">
        <v>1</v>
      </c>
      <c r="E50" s="14" t="str">
        <f>C50</f>
        <v>Интра</v>
      </c>
      <c r="F50" s="66" t="s">
        <v>53</v>
      </c>
      <c r="G50" s="33">
        <f>D50*2</f>
        <v>2</v>
      </c>
    </row>
    <row r="51" spans="1:7">
      <c r="A51" s="9"/>
      <c r="B51" s="16"/>
      <c r="C51" s="2"/>
      <c r="D51" s="2"/>
      <c r="E51" s="17" t="str">
        <f>C50</f>
        <v>Интра</v>
      </c>
      <c r="F51" s="52" t="s">
        <v>54</v>
      </c>
      <c r="G51" s="35">
        <f>D50*2</f>
        <v>2</v>
      </c>
    </row>
    <row r="52" spans="1:7">
      <c r="A52" s="9"/>
      <c r="B52" s="16"/>
      <c r="C52" s="2"/>
      <c r="D52" s="2"/>
      <c r="E52" s="17" t="str">
        <f>C50</f>
        <v>Интра</v>
      </c>
      <c r="F52" s="52" t="s">
        <v>55</v>
      </c>
      <c r="G52" s="53">
        <f>D50*2</f>
        <v>2</v>
      </c>
    </row>
    <row r="53" spans="1:7">
      <c r="A53" s="9"/>
      <c r="B53" s="16"/>
      <c r="C53" s="2"/>
      <c r="D53" s="2"/>
      <c r="E53" s="17" t="str">
        <f>C50</f>
        <v>Интра</v>
      </c>
      <c r="F53" s="52" t="s">
        <v>56</v>
      </c>
      <c r="G53" s="53">
        <f>D50*2</f>
        <v>2</v>
      </c>
    </row>
    <row r="54" spans="1:7">
      <c r="A54" s="9"/>
      <c r="B54" s="16"/>
      <c r="C54" s="2"/>
      <c r="D54" s="2"/>
      <c r="E54" s="17" t="str">
        <f>C50</f>
        <v>Интра</v>
      </c>
      <c r="F54" s="52" t="s">
        <v>57</v>
      </c>
      <c r="G54" s="53">
        <f>D50*2</f>
        <v>2</v>
      </c>
    </row>
    <row r="55" spans="1:7" ht="15.75" thickBot="1">
      <c r="A55" s="9"/>
      <c r="B55" s="19"/>
      <c r="C55" s="20"/>
      <c r="D55" s="20"/>
      <c r="E55" s="17" t="str">
        <f>C50</f>
        <v>Интра</v>
      </c>
      <c r="F55" s="52" t="s">
        <v>58</v>
      </c>
      <c r="G55" s="53">
        <f>D50*2</f>
        <v>2</v>
      </c>
    </row>
    <row r="56" spans="1:7" ht="15.75" thickBot="1">
      <c r="A56" s="9"/>
      <c r="B56" s="2"/>
      <c r="C56" s="2"/>
      <c r="D56" s="2"/>
      <c r="E56" s="67" t="s">
        <v>59</v>
      </c>
      <c r="F56" s="68" t="s">
        <v>60</v>
      </c>
      <c r="G56" s="55">
        <f>D50*4</f>
        <v>4</v>
      </c>
    </row>
    <row r="57" spans="1:7" ht="15.75" thickBot="1">
      <c r="A57" s="9"/>
      <c r="B57" s="10"/>
      <c r="C57" s="10"/>
      <c r="D57" s="10"/>
      <c r="E57" s="10"/>
      <c r="F57" s="11"/>
      <c r="G57" s="10"/>
    </row>
    <row r="58" spans="1:7" ht="15.75" thickBot="1">
      <c r="A58" s="9"/>
      <c r="B58" s="69" t="s">
        <v>61</v>
      </c>
      <c r="C58" s="12" t="s">
        <v>26</v>
      </c>
      <c r="D58" s="23">
        <v>1</v>
      </c>
      <c r="E58" s="14" t="str">
        <f>C58</f>
        <v>Хантон</v>
      </c>
      <c r="F58" s="66" t="s">
        <v>32</v>
      </c>
      <c r="G58" s="33">
        <f>D58</f>
        <v>1</v>
      </c>
    </row>
    <row r="59" spans="1:7">
      <c r="A59" s="9"/>
      <c r="B59" s="16"/>
      <c r="C59" s="2"/>
      <c r="D59" s="2"/>
      <c r="E59" s="17"/>
      <c r="F59" s="52"/>
      <c r="G59" s="35"/>
    </row>
    <row r="60" spans="1:7" ht="15.75" thickBot="1">
      <c r="A60" s="9"/>
      <c r="B60" s="19"/>
      <c r="C60" s="20"/>
      <c r="D60" s="20"/>
      <c r="E60" s="21"/>
      <c r="F60" s="54"/>
      <c r="G60" s="70"/>
    </row>
    <row r="61" spans="1:7" ht="15.75" thickBot="1">
      <c r="A61" s="9"/>
      <c r="B61" s="10"/>
      <c r="C61" s="10"/>
      <c r="D61" s="10"/>
      <c r="E61" s="10"/>
      <c r="F61" s="11"/>
      <c r="G61" s="10"/>
    </row>
    <row r="62" spans="1:7" ht="15.75" thickBot="1">
      <c r="A62" s="9"/>
      <c r="B62" s="69" t="s">
        <v>62</v>
      </c>
      <c r="C62" s="12" t="s">
        <v>26</v>
      </c>
      <c r="D62" s="23">
        <v>1</v>
      </c>
      <c r="E62" s="14" t="str">
        <f>C62</f>
        <v>Хантон</v>
      </c>
      <c r="F62" s="66" t="s">
        <v>63</v>
      </c>
      <c r="G62" s="33">
        <f>D62</f>
        <v>1</v>
      </c>
    </row>
    <row r="63" spans="1:7">
      <c r="A63" s="9"/>
      <c r="B63" s="16"/>
      <c r="C63" s="2"/>
      <c r="D63" s="2"/>
      <c r="E63" s="17"/>
      <c r="F63" s="52"/>
      <c r="G63" s="35"/>
    </row>
    <row r="64" spans="1:7" ht="15.75" thickBot="1">
      <c r="A64" s="9"/>
      <c r="B64" s="19"/>
      <c r="C64" s="20"/>
      <c r="D64" s="20"/>
      <c r="E64" s="21"/>
      <c r="F64" s="54"/>
      <c r="G64" s="70"/>
    </row>
    <row r="65" spans="1:7" ht="15.75" thickBot="1">
      <c r="A65" s="9"/>
      <c r="B65" s="9"/>
      <c r="C65" s="9"/>
      <c r="D65" s="9"/>
      <c r="E65" s="9"/>
      <c r="F65" s="9"/>
      <c r="G65" s="9"/>
    </row>
    <row r="66" spans="1:7" ht="15.75" thickBot="1">
      <c r="A66" s="9"/>
      <c r="B66" s="4" t="s">
        <v>25</v>
      </c>
      <c r="C66" s="12" t="s">
        <v>26</v>
      </c>
      <c r="D66" s="23">
        <v>108</v>
      </c>
      <c r="E66" s="14" t="str">
        <f>C66</f>
        <v>Хантон</v>
      </c>
      <c r="F66" s="71" t="s">
        <v>64</v>
      </c>
      <c r="G66" s="71">
        <f>D66</f>
        <v>108</v>
      </c>
    </row>
    <row r="67" spans="1:7" ht="16.5" thickTop="1" thickBot="1">
      <c r="A67" s="9"/>
      <c r="B67" s="16"/>
      <c r="C67" s="16"/>
      <c r="D67" s="72"/>
      <c r="E67" s="17" t="s">
        <v>8</v>
      </c>
      <c r="F67" s="73" t="s">
        <v>65</v>
      </c>
      <c r="G67" s="74">
        <f>D66*2</f>
        <v>216</v>
      </c>
    </row>
    <row r="68" spans="1:7" ht="16.5" thickTop="1" thickBot="1">
      <c r="A68" s="9"/>
      <c r="B68" s="19"/>
      <c r="C68" s="20"/>
      <c r="D68" s="20"/>
      <c r="E68" s="21" t="s">
        <v>8</v>
      </c>
      <c r="F68" s="75" t="s">
        <v>66</v>
      </c>
      <c r="G68" s="76">
        <f>D66*2</f>
        <v>216</v>
      </c>
    </row>
    <row r="69" spans="1:7">
      <c r="A69" s="9"/>
      <c r="B69" s="2"/>
      <c r="C69" s="2"/>
      <c r="D69" s="2"/>
      <c r="E69" s="2"/>
      <c r="F69" s="77" t="s">
        <v>67</v>
      </c>
      <c r="G69" s="78">
        <f>D66</f>
        <v>108</v>
      </c>
    </row>
    <row r="70" spans="1:7">
      <c r="A70" s="9"/>
      <c r="B70" s="2"/>
      <c r="C70" s="2"/>
      <c r="D70" s="2"/>
      <c r="E70" s="2"/>
      <c r="F70" s="77" t="s">
        <v>68</v>
      </c>
      <c r="G70" s="78">
        <f>D66*2</f>
        <v>216</v>
      </c>
    </row>
    <row r="71" spans="1:7">
      <c r="A71" s="9"/>
      <c r="B71" s="2"/>
      <c r="C71" s="2"/>
      <c r="D71" s="2"/>
      <c r="E71" s="2"/>
      <c r="F71" s="77" t="s">
        <v>69</v>
      </c>
      <c r="G71" s="78">
        <f>D66</f>
        <v>108</v>
      </c>
    </row>
    <row r="72" spans="1:7">
      <c r="A72" s="9"/>
      <c r="B72" s="2"/>
      <c r="C72" s="2"/>
      <c r="D72" s="2"/>
      <c r="E72" s="2"/>
      <c r="F72" s="77" t="s">
        <v>70</v>
      </c>
      <c r="G72" s="78">
        <f>D66*2</f>
        <v>216</v>
      </c>
    </row>
    <row r="73" spans="1:7">
      <c r="A73" s="9"/>
      <c r="B73" s="2"/>
      <c r="C73" s="2"/>
      <c r="D73" s="2"/>
      <c r="E73" s="2"/>
      <c r="F73" s="77" t="s">
        <v>71</v>
      </c>
      <c r="G73" s="78">
        <f>D66*4</f>
        <v>432</v>
      </c>
    </row>
    <row r="74" spans="1:7">
      <c r="A74" s="9"/>
      <c r="B74" s="2"/>
      <c r="C74" s="2"/>
      <c r="D74" s="2"/>
      <c r="E74" s="2"/>
      <c r="F74" s="77" t="s">
        <v>72</v>
      </c>
      <c r="G74" s="78">
        <f>D66*2</f>
        <v>216</v>
      </c>
    </row>
    <row r="75" spans="1:7">
      <c r="A75" s="9"/>
      <c r="B75" s="2"/>
      <c r="C75" s="2"/>
      <c r="D75" s="2"/>
      <c r="E75" s="2"/>
      <c r="F75" s="79" t="s">
        <v>73</v>
      </c>
      <c r="G75" s="78">
        <f>D66*2</f>
        <v>216</v>
      </c>
    </row>
    <row r="76" spans="1:7">
      <c r="A76" s="9"/>
      <c r="B76" s="2"/>
      <c r="C76" s="2"/>
      <c r="D76" s="2"/>
      <c r="E76" s="2"/>
      <c r="F76" s="73" t="s">
        <v>74</v>
      </c>
      <c r="G76" s="71">
        <f>D66*2</f>
        <v>216</v>
      </c>
    </row>
    <row r="77" spans="1:7" ht="15.75" thickBot="1">
      <c r="A77" s="9"/>
      <c r="B77" s="9"/>
      <c r="C77" s="9"/>
      <c r="D77" s="9"/>
      <c r="E77" s="9"/>
      <c r="F77" s="9"/>
      <c r="G77" s="9"/>
    </row>
    <row r="78" spans="1:7" ht="21" thickBot="1">
      <c r="A78" s="9"/>
      <c r="B78" s="80" t="s">
        <v>75</v>
      </c>
      <c r="C78" s="12" t="s">
        <v>26</v>
      </c>
      <c r="D78" s="23">
        <v>1</v>
      </c>
      <c r="E78" s="14" t="str">
        <f>C78</f>
        <v>Хантон</v>
      </c>
      <c r="F78" s="81" t="s">
        <v>76</v>
      </c>
      <c r="G78" s="33">
        <f>D78</f>
        <v>1</v>
      </c>
    </row>
    <row r="79" spans="1:7">
      <c r="A79" s="9"/>
      <c r="B79" s="16"/>
      <c r="C79" s="2"/>
      <c r="D79" s="2"/>
      <c r="E79" s="17"/>
      <c r="F79" s="52"/>
      <c r="G79" s="35"/>
    </row>
    <row r="80" spans="1:7" ht="15.75" thickBot="1">
      <c r="A80" s="9"/>
      <c r="B80" s="19"/>
      <c r="C80" s="20"/>
      <c r="D80" s="20"/>
      <c r="E80" s="21"/>
      <c r="F80" s="54"/>
      <c r="G80" s="70"/>
    </row>
    <row r="81" spans="1:7" ht="15.75" thickBot="1">
      <c r="A81" s="9"/>
      <c r="B81" s="9"/>
      <c r="C81" s="9"/>
      <c r="D81" s="9"/>
      <c r="E81" s="9"/>
      <c r="F81" s="9"/>
      <c r="G81" s="9"/>
    </row>
    <row r="82" spans="1:7" ht="15.75" thickBot="1">
      <c r="A82" s="9"/>
      <c r="B82" s="69" t="s">
        <v>77</v>
      </c>
      <c r="C82" s="12" t="s">
        <v>26</v>
      </c>
      <c r="D82" s="23">
        <v>1</v>
      </c>
      <c r="E82" s="14" t="str">
        <f>C82</f>
        <v>Хантон</v>
      </c>
      <c r="F82" s="66" t="s">
        <v>78</v>
      </c>
      <c r="G82" s="33">
        <f>D82</f>
        <v>1</v>
      </c>
    </row>
    <row r="83" spans="1:7">
      <c r="A83" s="9"/>
      <c r="B83" s="16"/>
      <c r="C83" s="2"/>
      <c r="D83" s="2"/>
      <c r="E83" s="17"/>
      <c r="F83" s="52"/>
      <c r="G83" s="35"/>
    </row>
    <row r="84" spans="1:7" ht="15.75" thickBot="1">
      <c r="A84" s="9"/>
      <c r="B84" s="19"/>
      <c r="C84" s="20"/>
      <c r="D84" s="20"/>
      <c r="E84" s="21"/>
      <c r="F84" s="54"/>
      <c r="G84" s="70"/>
    </row>
    <row r="85" spans="1:7" ht="15.75" thickBot="1">
      <c r="A85" s="9"/>
      <c r="B85" s="9"/>
      <c r="C85" s="9"/>
      <c r="D85" s="9"/>
      <c r="E85" s="9"/>
      <c r="F85" s="9"/>
      <c r="G85" s="9"/>
    </row>
    <row r="86" spans="1:7" ht="15.75" thickBot="1">
      <c r="A86" s="9"/>
      <c r="B86" s="69" t="s">
        <v>79</v>
      </c>
      <c r="C86" s="12" t="s">
        <v>6</v>
      </c>
      <c r="D86" s="13">
        <v>130</v>
      </c>
      <c r="E86" s="14" t="str">
        <f>C86</f>
        <v>Юта</v>
      </c>
      <c r="F86" s="82" t="s">
        <v>80</v>
      </c>
      <c r="G86" s="14">
        <f>D86</f>
        <v>130</v>
      </c>
    </row>
    <row r="87" spans="1:7">
      <c r="A87" s="9"/>
      <c r="B87" s="16"/>
      <c r="C87" s="2"/>
      <c r="D87" s="2"/>
      <c r="E87" s="17" t="s">
        <v>8</v>
      </c>
      <c r="F87" s="18" t="s">
        <v>9</v>
      </c>
      <c r="G87" s="17">
        <f>D86*2</f>
        <v>260</v>
      </c>
    </row>
    <row r="88" spans="1:7" ht="15.75" thickBot="1">
      <c r="A88" s="9"/>
      <c r="B88" s="19"/>
      <c r="C88" s="20"/>
      <c r="D88" s="20"/>
      <c r="E88" s="21" t="str">
        <f>C86</f>
        <v>Юта</v>
      </c>
      <c r="F88" s="83" t="s">
        <v>81</v>
      </c>
      <c r="G88" s="17">
        <f>D86*2</f>
        <v>260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ПК</cp:lastModifiedBy>
  <dcterms:created xsi:type="dcterms:W3CDTF">2026-04-14T11:47:48Z</dcterms:created>
  <dcterms:modified xsi:type="dcterms:W3CDTF">2026-04-14T11:48:23Z</dcterms:modified>
</cp:coreProperties>
</file>